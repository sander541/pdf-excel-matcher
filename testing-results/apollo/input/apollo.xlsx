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kuexpert-my.sharepoint.com/personal/kaspar_headsolutions_ee/Documents/Documents/Pooleli/Keila kaubnduskeskus/Kino/"/>
    </mc:Choice>
  </mc:AlternateContent>
  <xr:revisionPtr revIDLastSave="161" documentId="8_{C00C7D6A-A62A-44DE-8C5D-7D1733B645ED}" xr6:coauthVersionLast="47" xr6:coauthVersionMax="47" xr10:uidLastSave="{E578F8DB-AF6D-4292-BBE0-A7D2B6E19F53}"/>
  <bookViews>
    <workbookView xWindow="-28920" yWindow="-45" windowWidth="29040" windowHeight="15720" tabRatio="664" xr2:uid="{77D9105A-A635-45E2-B88C-71D3074002B7}"/>
  </bookViews>
  <sheets>
    <sheet name="Lukustus" sheetId="1" r:id="rId1"/>
    <sheet name="Sheet1" sheetId="12" r:id="rId2"/>
  </sheets>
  <definedNames>
    <definedName name="_xlnm._FilterDatabase" localSheetId="0" hidden="1">Lukustus!$A$1:$AY$1</definedName>
    <definedName name="blue">#REF!</definedName>
    <definedName name="green">#REF!</definedName>
    <definedName name="_xlnm.Print_Area" localSheetId="0">Lukustus!$B$1:$AF$1</definedName>
    <definedName name="red">#REF!</definedName>
    <definedName name="reed">#REF!</definedName>
    <definedName name="rud">#REF!</definedName>
    <definedName name="ter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1" i="12"/>
</calcChain>
</file>

<file path=xl/sharedStrings.xml><?xml version="1.0" encoding="utf-8"?>
<sst xmlns="http://schemas.openxmlformats.org/spreadsheetml/2006/main" count="308" uniqueCount="94">
  <si>
    <t>TÄHIS</t>
  </si>
  <si>
    <t>KORRUS</t>
  </si>
  <si>
    <t>KOGUS</t>
  </si>
  <si>
    <t>LAIUS</t>
  </si>
  <si>
    <t>KÕRGUS</t>
  </si>
  <si>
    <t>TULEPÜSIVUS</t>
  </si>
  <si>
    <t>HINGED</t>
  </si>
  <si>
    <t>KÄEPIDE</t>
  </si>
  <si>
    <t>SULGUR</t>
  </si>
  <si>
    <t>PIIRAJA</t>
  </si>
  <si>
    <t>FIKSAATOR</t>
  </si>
  <si>
    <t>SEES</t>
  </si>
  <si>
    <t>VÄLJAS</t>
  </si>
  <si>
    <t>LUKUTÜÜP</t>
  </si>
  <si>
    <t>LENG</t>
  </si>
  <si>
    <t>KLAAS</t>
  </si>
  <si>
    <t>EVAK.UKS</t>
  </si>
  <si>
    <t>INIMESTE ARV</t>
  </si>
  <si>
    <t>EVAK.SULUS</t>
  </si>
  <si>
    <t>VABA LAIUS</t>
  </si>
  <si>
    <t>RIIVISTUS</t>
  </si>
  <si>
    <t>ATS KÄIVITUMINE</t>
  </si>
  <si>
    <t>RUUM</t>
  </si>
  <si>
    <t>ASUKOHT</t>
  </si>
  <si>
    <t>NIMETUS</t>
  </si>
  <si>
    <t>AVANEMINE</t>
  </si>
  <si>
    <t>VIIMSTLUS       (SEEST JA VÄLJAST)</t>
  </si>
  <si>
    <t>MATERJAL</t>
  </si>
  <si>
    <t>TOOTJA</t>
  </si>
  <si>
    <t>HELIISOLATSIOON R’w+ Ctr dB</t>
  </si>
  <si>
    <t>LEHT/ TOODE</t>
  </si>
  <si>
    <t>ABEA281</t>
  </si>
  <si>
    <t>PBE001MU</t>
  </si>
  <si>
    <t>ASA120</t>
  </si>
  <si>
    <t>ABLC200P</t>
  </si>
  <si>
    <t>ABEL580</t>
  </si>
  <si>
    <t>ABLC200V</t>
  </si>
  <si>
    <t>LP732</t>
  </si>
  <si>
    <t>ASDC700MU</t>
  </si>
  <si>
    <t>ABLC200WC P</t>
  </si>
  <si>
    <t>ABLC200WC V</t>
  </si>
  <si>
    <t>Lukk</t>
  </si>
  <si>
    <t>Võtmepesa/wc</t>
  </si>
  <si>
    <t>Vasturaud</t>
  </si>
  <si>
    <t>kaabel</t>
  </si>
  <si>
    <t>Sulgur</t>
  </si>
  <si>
    <t>Sulguri vars</t>
  </si>
  <si>
    <t>Pas. riivistus</t>
  </si>
  <si>
    <t>vars</t>
  </si>
  <si>
    <t>Plaat</t>
  </si>
  <si>
    <t>Hoidemagnet</t>
  </si>
  <si>
    <t>Lisatarvik</t>
  </si>
  <si>
    <t>SU-01.1P</t>
  </si>
  <si>
    <t>SU-01.1V</t>
  </si>
  <si>
    <t>SU-01.2P</t>
  </si>
  <si>
    <t>SU-01.2V</t>
  </si>
  <si>
    <t>SU-02.1V</t>
  </si>
  <si>
    <t>SU-02.2V</t>
  </si>
  <si>
    <t>SU-02.3V</t>
  </si>
  <si>
    <t>SU-03V</t>
  </si>
  <si>
    <t>SU-04.1P</t>
  </si>
  <si>
    <t>SU-04.2P</t>
  </si>
  <si>
    <t>SU-05V</t>
  </si>
  <si>
    <t>saal</t>
  </si>
  <si>
    <t>AB4-008RST</t>
  </si>
  <si>
    <t>ABEA210</t>
  </si>
  <si>
    <t>ASG460MU</t>
  </si>
  <si>
    <t>ASA104MU</t>
  </si>
  <si>
    <t>CY033UNI</t>
  </si>
  <si>
    <t>Olemasolev</t>
  </si>
  <si>
    <t>UMJ</t>
  </si>
  <si>
    <t>CY029UNI</t>
  </si>
  <si>
    <t>ASDC500MU</t>
  </si>
  <si>
    <t>ASG195MU</t>
  </si>
  <si>
    <t>SU-06V</t>
  </si>
  <si>
    <t>SU-06P</t>
  </si>
  <si>
    <t>AB007WCLNI</t>
  </si>
  <si>
    <t>SU-07V</t>
  </si>
  <si>
    <t>SU-08V</t>
  </si>
  <si>
    <t>SU-09P</t>
  </si>
  <si>
    <t>SU-10.1P</t>
  </si>
  <si>
    <t>SU-10.2P</t>
  </si>
  <si>
    <t>SU-10.3V</t>
  </si>
  <si>
    <t>ASA153+ASA152</t>
  </si>
  <si>
    <t>SU-11P</t>
  </si>
  <si>
    <t>SU-12</t>
  </si>
  <si>
    <t>CY028UNI</t>
  </si>
  <si>
    <t>Poom</t>
  </si>
  <si>
    <t>Link</t>
  </si>
  <si>
    <t>Kaablikaitse</t>
  </si>
  <si>
    <t>Magnet põrandal</t>
  </si>
  <si>
    <t xml:space="preserve">Olemasolev uks </t>
  </si>
  <si>
    <t>3Ü04.1</t>
  </si>
  <si>
    <t>2Ü03.1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</si>
</sst>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General"/>
  </numFmts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1"/>
      <charset val="186"/>
    </font>
    <font>
      <sz val="9"/>
      <color rgb="FF000000"/>
      <name val="Verdana"/>
      <family val="2"/>
      <charset val="186"/>
    </font>
    <font>
      <sz val="9"/>
      <color rgb="FFFF0000"/>
      <name val="Verdana"/>
      <family val="2"/>
      <charset val="186"/>
    </font>
    <font>
      <sz val="9"/>
      <name val="Verdana"/>
      <family val="2"/>
      <charset val="18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64" fontId="7" fillId="0" borderId="0" applyBorder="0" applyProtection="0"/>
  </cellStyleXfs>
  <cellXfs count="38">
    <xf numFmtId="0" fontId="0" fillId="0" borderId="0" xfId="0"/>
    <xf numFmtId="0" fontId="0" fillId="0" borderId="1" xfId="0" applyBorder="1"/>
    <xf numFmtId="49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64" fontId="8" fillId="0" borderId="1" xfId="2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64" fontId="10" fillId="0" borderId="1" xfId="2" applyFont="1" applyBorder="1" applyAlignment="1">
      <alignment horizontal="center" vertical="center" wrapText="1" readingOrder="1"/>
    </xf>
    <xf numFmtId="164" fontId="9" fillId="0" borderId="1" xfId="2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164" fontId="10" fillId="3" borderId="1" xfId="2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/>
    </xf>
    <xf numFmtId="164" fontId="8" fillId="3" borderId="1" xfId="2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 textRotation="45"/>
      <protection locked="0"/>
    </xf>
    <xf numFmtId="49" fontId="2" fillId="0" borderId="1" xfId="0" applyNumberFormat="1" applyFont="1" applyBorder="1" applyAlignment="1">
      <alignment horizontal="center" vertical="center" textRotation="45" wrapText="1"/>
    </xf>
    <xf numFmtId="49" fontId="2" fillId="0" borderId="1" xfId="0" applyNumberFormat="1" applyFont="1" applyBorder="1" applyAlignment="1" applyProtection="1">
      <alignment horizontal="center" vertical="center" textRotation="45" wrapText="1"/>
      <protection locked="0"/>
    </xf>
    <xf numFmtId="49" fontId="6" fillId="0" borderId="1" xfId="0" applyNumberFormat="1" applyFont="1" applyBorder="1" applyAlignment="1" applyProtection="1">
      <alignment horizontal="center" vertical="center" textRotation="45"/>
      <protection locked="0"/>
    </xf>
    <xf numFmtId="1" fontId="2" fillId="0" borderId="1" xfId="0" applyNumberFormat="1" applyFont="1" applyBorder="1" applyAlignment="1" applyProtection="1">
      <alignment horizontal="center" vertical="center" textRotation="45" wrapText="1"/>
      <protection locked="0"/>
    </xf>
    <xf numFmtId="49" fontId="2" fillId="0" borderId="1" xfId="0" applyNumberFormat="1" applyFont="1" applyBorder="1" applyAlignment="1">
      <alignment horizontal="center" vertical="center" textRotation="45"/>
    </xf>
    <xf numFmtId="49" fontId="2" fillId="0" borderId="0" xfId="0" applyNumberFormat="1" applyFont="1" applyAlignment="1">
      <alignment horizontal="center" vertical="center" textRotation="45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164" fontId="9" fillId="3" borderId="1" xfId="2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/>
      <protection locked="0"/>
    </xf>
  </cellXfs>
  <cellStyles count="3">
    <cellStyle name="Excel Built-in Normal" xfId="2" xr:uid="{15488039-1540-42A4-97FB-31F755F9C9ED}"/>
    <cellStyle name="Normaallaad 2" xfId="1" xr:uid="{6DCA1328-D693-41EC-9461-D7AF55038457}"/>
    <cellStyle name="Normal" xfId="0" builtinId="0"/>
  </cellStyles>
  <dxfs count="0"/>
  <tableStyles count="0" defaultTableStyle="TableStyleMedium2" defaultPivotStyle="PivotStyleLight16"/>
  <colors>
    <mruColors>
      <color rgb="FF00FF00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66-B503-4185-AC9C-0E13FCF517A1}">
  <sheetPr>
    <pageSetUpPr fitToPage="1"/>
  </sheetPr>
  <dimension ref="A1:AX27"/>
  <sheetViews>
    <sheetView tabSelected="1" zoomScale="85" zoomScaleNormal="85" zoomScalePageLayoutView="71" workbookViewId="0">
      <selection activeCell="B9" sqref="B9"/>
    </sheetView>
  </sheetViews>
  <sheetFormatPr defaultRowHeight="22.8" customHeight="1"/>
  <cols>
    <col min="1" max="1" width="8.88671875" style="22"/>
    <col min="2" max="2" width="14.6640625" style="18" customWidth="1"/>
    <col min="3" max="3" width="13.44140625" style="18" customWidth="1"/>
    <col min="4" max="4" width="26.6640625" style="31" hidden="1" customWidth="1"/>
    <col min="5" max="5" width="8.6640625" style="18" hidden="1" customWidth="1"/>
    <col min="6" max="6" width="23" style="17" hidden="1" customWidth="1"/>
    <col min="7" max="8" width="9" style="17" hidden="1" customWidth="1"/>
    <col min="9" max="9" width="8.6640625" style="18" hidden="1" customWidth="1"/>
    <col min="10" max="10" width="8.33203125" style="18" hidden="1" customWidth="1"/>
    <col min="11" max="12" width="8.6640625" style="18" hidden="1" customWidth="1"/>
    <col min="13" max="13" width="11" style="21" hidden="1" customWidth="1"/>
    <col min="14" max="14" width="4.6640625" style="20" hidden="1" customWidth="1"/>
    <col min="15" max="15" width="8.6640625" style="18" hidden="1" customWidth="1"/>
    <col min="16" max="16" width="9.88671875" style="18" hidden="1" customWidth="1"/>
    <col min="17" max="17" width="10" style="19" hidden="1" customWidth="1"/>
    <col min="18" max="18" width="11.6640625" style="18" hidden="1" customWidth="1"/>
    <col min="19" max="19" width="8.6640625" style="18" hidden="1" customWidth="1"/>
    <col min="20" max="20" width="19.109375" style="18" hidden="1" customWidth="1"/>
    <col min="21" max="21" width="9.44140625" style="17" hidden="1" customWidth="1"/>
    <col min="22" max="22" width="7.6640625" style="17" hidden="1" customWidth="1"/>
    <col min="23" max="23" width="8.6640625" style="18" hidden="1" customWidth="1"/>
    <col min="24" max="24" width="17" style="18" hidden="1" customWidth="1"/>
    <col min="25" max="25" width="10.5546875" style="18" hidden="1" customWidth="1"/>
    <col min="26" max="26" width="19.5546875" style="18" hidden="1" customWidth="1"/>
    <col min="27" max="27" width="9.44140625" style="18" hidden="1" customWidth="1"/>
    <col min="28" max="28" width="14.6640625" style="18" hidden="1" customWidth="1"/>
    <col min="29" max="29" width="10.77734375" style="18" hidden="1" customWidth="1"/>
    <col min="30" max="30" width="10.88671875" style="18" hidden="1" customWidth="1"/>
    <col min="31" max="31" width="16" style="18" hidden="1" customWidth="1"/>
    <col min="32" max="32" width="0.109375" style="19" customWidth="1"/>
    <col min="33" max="36" width="15.88671875" style="22" customWidth="1"/>
    <col min="37" max="37" width="13.77734375" style="22" customWidth="1"/>
    <col min="38" max="39" width="12.109375" style="22" customWidth="1"/>
    <col min="40" max="40" width="12.88671875" style="22" customWidth="1"/>
    <col min="41" max="41" width="13" style="22" customWidth="1"/>
    <col min="42" max="44" width="15.88671875" style="22" customWidth="1"/>
    <col min="45" max="45" width="8.88671875" style="22" customWidth="1"/>
    <col min="46" max="46" width="8.33203125" style="22" customWidth="1"/>
    <col min="47" max="47" width="17.44140625" style="22" customWidth="1"/>
    <col min="48" max="48" width="8.88671875" style="22"/>
    <col min="49" max="49" width="17.44140625" style="22" customWidth="1"/>
    <col min="50" max="50" width="15.5546875" style="22" customWidth="1"/>
    <col min="51" max="16384" width="8.88671875" style="22"/>
  </cols>
  <sheetData>
    <row r="1" spans="1:50" s="30" customFormat="1" ht="93.6" customHeight="1">
      <c r="A1" s="22"/>
      <c r="B1" s="24" t="s">
        <v>0</v>
      </c>
      <c r="C1" s="24" t="s">
        <v>22</v>
      </c>
      <c r="D1" s="25" t="s">
        <v>23</v>
      </c>
      <c r="E1" s="24" t="s">
        <v>1</v>
      </c>
      <c r="F1" s="26" t="s">
        <v>24</v>
      </c>
      <c r="G1" s="26" t="s">
        <v>27</v>
      </c>
      <c r="H1" s="26" t="s">
        <v>26</v>
      </c>
      <c r="I1" s="24" t="s">
        <v>2</v>
      </c>
      <c r="J1" s="24" t="s">
        <v>25</v>
      </c>
      <c r="K1" s="24" t="s">
        <v>3</v>
      </c>
      <c r="L1" s="24" t="s">
        <v>4</v>
      </c>
      <c r="M1" s="27" t="s">
        <v>5</v>
      </c>
      <c r="N1" s="28" t="s">
        <v>29</v>
      </c>
      <c r="O1" s="24" t="s">
        <v>16</v>
      </c>
      <c r="P1" s="24" t="s">
        <v>17</v>
      </c>
      <c r="Q1" s="26" t="s">
        <v>18</v>
      </c>
      <c r="R1" s="24" t="s">
        <v>19</v>
      </c>
      <c r="S1" s="24" t="s">
        <v>20</v>
      </c>
      <c r="T1" s="24" t="s">
        <v>21</v>
      </c>
      <c r="U1" s="26" t="s">
        <v>14</v>
      </c>
      <c r="V1" s="26" t="s">
        <v>30</v>
      </c>
      <c r="W1" s="24" t="s">
        <v>15</v>
      </c>
      <c r="X1" s="24" t="s">
        <v>11</v>
      </c>
      <c r="Y1" s="24" t="s">
        <v>12</v>
      </c>
      <c r="Z1" s="24" t="s">
        <v>13</v>
      </c>
      <c r="AA1" s="24" t="s">
        <v>6</v>
      </c>
      <c r="AB1" s="24" t="s">
        <v>7</v>
      </c>
      <c r="AC1" s="24" t="s">
        <v>8</v>
      </c>
      <c r="AD1" s="24" t="s">
        <v>9</v>
      </c>
      <c r="AE1" s="24" t="s">
        <v>10</v>
      </c>
      <c r="AF1" s="29" t="s">
        <v>28</v>
      </c>
      <c r="AG1" s="29" t="s">
        <v>41</v>
      </c>
      <c r="AH1" s="29" t="s">
        <v>42</v>
      </c>
      <c r="AI1" s="29" t="s">
        <v>43</v>
      </c>
      <c r="AJ1" s="29" t="s">
        <v>88</v>
      </c>
      <c r="AK1" s="29" t="s">
        <v>87</v>
      </c>
      <c r="AL1" s="29" t="s">
        <v>89</v>
      </c>
      <c r="AM1" s="29" t="s">
        <v>44</v>
      </c>
      <c r="AN1" s="29" t="s">
        <v>45</v>
      </c>
      <c r="AO1" s="29" t="s">
        <v>46</v>
      </c>
      <c r="AP1" s="29" t="s">
        <v>47</v>
      </c>
      <c r="AQ1" s="29" t="s">
        <v>90</v>
      </c>
      <c r="AR1" s="29" t="s">
        <v>48</v>
      </c>
      <c r="AS1" s="29" t="s">
        <v>49</v>
      </c>
      <c r="AT1" s="29" t="s">
        <v>49</v>
      </c>
      <c r="AU1" s="29" t="s">
        <v>50</v>
      </c>
      <c r="AV1" s="29" t="s">
        <v>51</v>
      </c>
      <c r="AW1" s="29" t="s">
        <v>51</v>
      </c>
      <c r="AX1" s="29" t="s">
        <v>51</v>
      </c>
    </row>
    <row r="2" spans="1:50" ht="22.8" customHeight="1">
      <c r="A2" s="7" t="s">
        <v>63</v>
      </c>
      <c r="B2" s="7" t="s">
        <v>52</v>
      </c>
      <c r="C2" s="4"/>
      <c r="D2" s="10"/>
      <c r="E2" s="4"/>
      <c r="F2" s="3"/>
      <c r="G2" s="3"/>
      <c r="H2" s="3"/>
      <c r="I2" s="4"/>
      <c r="J2" s="4"/>
      <c r="K2" s="4"/>
      <c r="L2" s="4"/>
      <c r="M2" s="11"/>
      <c r="N2" s="5"/>
      <c r="O2" s="4"/>
      <c r="P2" s="4"/>
      <c r="Q2" s="2"/>
      <c r="R2" s="4"/>
      <c r="S2" s="4"/>
      <c r="T2" s="4"/>
      <c r="U2" s="3"/>
      <c r="V2" s="3"/>
      <c r="W2" s="4"/>
      <c r="X2" s="4"/>
      <c r="Y2" s="4"/>
      <c r="Z2" s="4"/>
      <c r="AA2" s="4"/>
      <c r="AB2" s="4"/>
      <c r="AC2" s="4"/>
      <c r="AD2" s="4"/>
      <c r="AE2" s="4"/>
      <c r="AF2" s="2"/>
      <c r="AG2" s="14" t="s">
        <v>35</v>
      </c>
      <c r="AH2" s="13" t="s">
        <v>68</v>
      </c>
      <c r="AI2" s="14" t="s">
        <v>37</v>
      </c>
      <c r="AJ2" s="14" t="s">
        <v>64</v>
      </c>
      <c r="AK2" s="16" t="s">
        <v>32</v>
      </c>
      <c r="AL2" s="15" t="s">
        <v>31</v>
      </c>
      <c r="AM2" s="15" t="s">
        <v>65</v>
      </c>
      <c r="AN2" s="6" t="s">
        <v>38</v>
      </c>
      <c r="AO2" s="6" t="s">
        <v>66</v>
      </c>
      <c r="AP2" s="7" t="s">
        <v>67</v>
      </c>
      <c r="AQ2" s="7"/>
      <c r="AR2" s="23"/>
      <c r="AS2" s="8" t="s">
        <v>33</v>
      </c>
    </row>
    <row r="3" spans="1:50" ht="22.8" customHeight="1">
      <c r="A3" s="7" t="s">
        <v>63</v>
      </c>
      <c r="B3" s="7" t="s">
        <v>53</v>
      </c>
      <c r="C3" s="4"/>
      <c r="D3" s="10"/>
      <c r="E3" s="4"/>
      <c r="F3" s="3"/>
      <c r="G3" s="3"/>
      <c r="H3" s="3"/>
      <c r="I3" s="4"/>
      <c r="J3" s="4"/>
      <c r="K3" s="4"/>
      <c r="L3" s="4"/>
      <c r="M3" s="11"/>
      <c r="N3" s="5"/>
      <c r="O3" s="4"/>
      <c r="P3" s="4"/>
      <c r="Q3" s="2"/>
      <c r="R3" s="4"/>
      <c r="S3" s="4"/>
      <c r="T3" s="4"/>
      <c r="U3" s="3"/>
      <c r="V3" s="3"/>
      <c r="W3" s="4"/>
      <c r="X3" s="4"/>
      <c r="Y3" s="4"/>
      <c r="Z3" s="4"/>
      <c r="AA3" s="4"/>
      <c r="AB3" s="4"/>
      <c r="AC3" s="4"/>
      <c r="AD3" s="4"/>
      <c r="AE3" s="4"/>
      <c r="AF3" s="2"/>
      <c r="AG3" s="14" t="s">
        <v>35</v>
      </c>
      <c r="AH3" s="13" t="s">
        <v>68</v>
      </c>
      <c r="AI3" s="14" t="s">
        <v>37</v>
      </c>
      <c r="AJ3" s="14" t="s">
        <v>64</v>
      </c>
      <c r="AK3" s="16" t="s">
        <v>32</v>
      </c>
      <c r="AL3" s="15" t="s">
        <v>31</v>
      </c>
      <c r="AM3" s="15" t="s">
        <v>65</v>
      </c>
      <c r="AN3" s="6" t="s">
        <v>38</v>
      </c>
      <c r="AO3" s="6" t="s">
        <v>66</v>
      </c>
      <c r="AP3" s="7" t="s">
        <v>67</v>
      </c>
      <c r="AQ3" s="7"/>
      <c r="AR3" s="23"/>
      <c r="AS3" s="8" t="s">
        <v>33</v>
      </c>
    </row>
    <row r="4" spans="1:50" ht="22.8" customHeight="1">
      <c r="A4" s="7" t="s">
        <v>63</v>
      </c>
      <c r="B4" s="16" t="s">
        <v>54</v>
      </c>
      <c r="C4" s="4"/>
      <c r="D4" s="10"/>
      <c r="E4" s="4"/>
      <c r="F4" s="3"/>
      <c r="G4" s="3"/>
      <c r="H4" s="3"/>
      <c r="I4" s="4"/>
      <c r="J4" s="4"/>
      <c r="K4" s="4"/>
      <c r="L4" s="4"/>
      <c r="M4" s="11"/>
      <c r="N4" s="5"/>
      <c r="O4" s="4"/>
      <c r="P4" s="4"/>
      <c r="Q4" s="2"/>
      <c r="R4" s="4"/>
      <c r="S4" s="4"/>
      <c r="T4" s="4"/>
      <c r="U4" s="3"/>
      <c r="V4" s="3"/>
      <c r="W4" s="4"/>
      <c r="X4" s="4"/>
      <c r="Y4" s="4"/>
      <c r="Z4" s="4"/>
      <c r="AA4" s="4"/>
      <c r="AB4" s="4"/>
      <c r="AC4" s="4"/>
      <c r="AD4" s="4"/>
      <c r="AE4" s="4"/>
      <c r="AF4" s="2"/>
      <c r="AG4" s="14" t="s">
        <v>35</v>
      </c>
      <c r="AH4" s="13" t="s">
        <v>68</v>
      </c>
      <c r="AI4" s="14" t="s">
        <v>37</v>
      </c>
      <c r="AJ4" s="14" t="s">
        <v>64</v>
      </c>
      <c r="AK4" s="16" t="s">
        <v>32</v>
      </c>
      <c r="AL4" s="15" t="s">
        <v>31</v>
      </c>
      <c r="AM4" s="15" t="s">
        <v>65</v>
      </c>
      <c r="AN4" s="6" t="s">
        <v>38</v>
      </c>
      <c r="AO4" s="6" t="s">
        <v>66</v>
      </c>
      <c r="AP4" s="7" t="s">
        <v>67</v>
      </c>
      <c r="AQ4" s="7"/>
      <c r="AR4" s="23"/>
      <c r="AS4" s="8" t="s">
        <v>33</v>
      </c>
    </row>
    <row r="5" spans="1:50" ht="22.8" customHeight="1">
      <c r="A5" s="7" t="s">
        <v>63</v>
      </c>
      <c r="B5" s="16" t="s">
        <v>55</v>
      </c>
      <c r="C5" s="4"/>
      <c r="D5" s="10"/>
      <c r="E5" s="4"/>
      <c r="F5" s="3"/>
      <c r="G5" s="3"/>
      <c r="H5" s="3"/>
      <c r="I5" s="4"/>
      <c r="J5" s="4"/>
      <c r="K5" s="4"/>
      <c r="L5" s="4"/>
      <c r="M5" s="11"/>
      <c r="N5" s="5"/>
      <c r="O5" s="4"/>
      <c r="P5" s="4"/>
      <c r="Q5" s="2"/>
      <c r="R5" s="4"/>
      <c r="S5" s="4"/>
      <c r="T5" s="4"/>
      <c r="U5" s="3"/>
      <c r="V5" s="3"/>
      <c r="W5" s="4"/>
      <c r="X5" s="4"/>
      <c r="Y5" s="4"/>
      <c r="Z5" s="4"/>
      <c r="AA5" s="4"/>
      <c r="AB5" s="4"/>
      <c r="AC5" s="4"/>
      <c r="AD5" s="4"/>
      <c r="AE5" s="4"/>
      <c r="AF5" s="2"/>
      <c r="AG5" s="14" t="s">
        <v>35</v>
      </c>
      <c r="AH5" s="13" t="s">
        <v>68</v>
      </c>
      <c r="AI5" s="14" t="s">
        <v>37</v>
      </c>
      <c r="AJ5" s="14" t="s">
        <v>64</v>
      </c>
      <c r="AK5" s="16" t="s">
        <v>32</v>
      </c>
      <c r="AL5" s="15" t="s">
        <v>31</v>
      </c>
      <c r="AM5" s="15" t="s">
        <v>65</v>
      </c>
      <c r="AN5" s="6" t="s">
        <v>38</v>
      </c>
      <c r="AO5" s="6" t="s">
        <v>66</v>
      </c>
      <c r="AP5" s="7" t="s">
        <v>67</v>
      </c>
      <c r="AQ5" s="7"/>
      <c r="AR5" s="23"/>
      <c r="AS5" s="8" t="s">
        <v>33</v>
      </c>
    </row>
    <row r="6" spans="1:50" ht="22.8" customHeight="1">
      <c r="A6" s="7"/>
      <c r="B6" s="16" t="s">
        <v>56</v>
      </c>
      <c r="C6" s="4"/>
      <c r="D6" s="10"/>
      <c r="E6" s="4"/>
      <c r="F6" s="3"/>
      <c r="G6" s="3"/>
      <c r="H6" s="3"/>
      <c r="I6" s="4"/>
      <c r="J6" s="4"/>
      <c r="K6" s="4"/>
      <c r="L6" s="4"/>
      <c r="M6" s="11"/>
      <c r="N6" s="5"/>
      <c r="O6" s="4"/>
      <c r="P6" s="4"/>
      <c r="Q6" s="2"/>
      <c r="R6" s="4"/>
      <c r="S6" s="4"/>
      <c r="T6" s="4"/>
      <c r="U6" s="3"/>
      <c r="V6" s="3"/>
      <c r="W6" s="4"/>
      <c r="X6" s="4"/>
      <c r="Y6" s="4"/>
      <c r="Z6" s="4"/>
      <c r="AA6" s="4"/>
      <c r="AB6" s="4"/>
      <c r="AC6" s="4"/>
      <c r="AD6" s="4"/>
      <c r="AE6" s="4"/>
      <c r="AF6" s="2"/>
      <c r="AG6" s="7" t="s">
        <v>69</v>
      </c>
      <c r="AH6" s="7"/>
      <c r="AI6" s="7"/>
      <c r="AJ6" s="7"/>
      <c r="AK6" s="7"/>
      <c r="AL6" s="7"/>
      <c r="AM6" s="7"/>
      <c r="AN6" s="7"/>
      <c r="AO6" s="7"/>
      <c r="AP6" s="7"/>
      <c r="AQ6" s="7" t="s">
        <v>70</v>
      </c>
      <c r="AR6" s="23"/>
      <c r="AS6" s="8" t="s">
        <v>33</v>
      </c>
      <c r="AU6" s="22" t="s">
        <v>93</v>
      </c>
    </row>
    <row r="7" spans="1:50" ht="22.8" customHeight="1">
      <c r="A7" s="7"/>
      <c r="B7" s="7" t="s">
        <v>57</v>
      </c>
      <c r="C7" s="4"/>
      <c r="D7" s="10"/>
      <c r="E7" s="4"/>
      <c r="F7" s="3"/>
      <c r="G7" s="3"/>
      <c r="H7" s="3"/>
      <c r="I7" s="4"/>
      <c r="J7" s="4"/>
      <c r="K7" s="4"/>
      <c r="L7" s="4"/>
      <c r="M7" s="11"/>
      <c r="N7" s="5"/>
      <c r="O7" s="4"/>
      <c r="P7" s="4"/>
      <c r="Q7" s="2"/>
      <c r="R7" s="4"/>
      <c r="S7" s="4"/>
      <c r="T7" s="4"/>
      <c r="U7" s="3"/>
      <c r="V7" s="3"/>
      <c r="W7" s="4"/>
      <c r="X7" s="4"/>
      <c r="Y7" s="4"/>
      <c r="Z7" s="4"/>
      <c r="AA7" s="4"/>
      <c r="AB7" s="4"/>
      <c r="AC7" s="4"/>
      <c r="AD7" s="4"/>
      <c r="AE7" s="4"/>
      <c r="AF7" s="2"/>
      <c r="AG7" s="14" t="s">
        <v>35</v>
      </c>
      <c r="AH7" s="13" t="s">
        <v>68</v>
      </c>
      <c r="AI7" s="14" t="s">
        <v>37</v>
      </c>
      <c r="AJ7" s="14" t="s">
        <v>64</v>
      </c>
      <c r="AK7" s="16" t="s">
        <v>32</v>
      </c>
      <c r="AL7" s="15" t="s">
        <v>31</v>
      </c>
      <c r="AM7" s="15" t="s">
        <v>65</v>
      </c>
      <c r="AN7" s="6" t="s">
        <v>38</v>
      </c>
      <c r="AO7" s="6" t="s">
        <v>66</v>
      </c>
      <c r="AP7" s="7" t="s">
        <v>67</v>
      </c>
      <c r="AQ7" s="7"/>
      <c r="AR7" s="23"/>
      <c r="AS7" s="8" t="s">
        <v>33</v>
      </c>
    </row>
    <row r="8" spans="1:50" ht="22.8" customHeight="1">
      <c r="A8" s="7"/>
      <c r="B8" s="16" t="s">
        <v>58</v>
      </c>
      <c r="C8" s="4"/>
      <c r="D8" s="10"/>
      <c r="E8" s="4"/>
      <c r="F8" s="3"/>
      <c r="G8" s="3"/>
      <c r="H8" s="3"/>
      <c r="I8" s="4"/>
      <c r="J8" s="4"/>
      <c r="K8" s="4"/>
      <c r="L8" s="4"/>
      <c r="M8" s="11"/>
      <c r="N8" s="5"/>
      <c r="O8" s="4"/>
      <c r="P8" s="4"/>
      <c r="Q8" s="2"/>
      <c r="R8" s="4"/>
      <c r="S8" s="4"/>
      <c r="T8" s="4"/>
      <c r="U8" s="3"/>
      <c r="V8" s="3"/>
      <c r="W8" s="4"/>
      <c r="X8" s="4"/>
      <c r="Y8" s="4"/>
      <c r="Z8" s="4"/>
      <c r="AA8" s="4"/>
      <c r="AB8" s="4"/>
      <c r="AC8" s="4"/>
      <c r="AD8" s="4"/>
      <c r="AE8" s="4"/>
      <c r="AF8" s="2"/>
      <c r="AG8" s="33" t="s">
        <v>35</v>
      </c>
      <c r="AH8" s="34" t="s">
        <v>68</v>
      </c>
      <c r="AI8" s="33" t="s">
        <v>37</v>
      </c>
      <c r="AJ8" s="33" t="s">
        <v>64</v>
      </c>
      <c r="AK8" s="35" t="s">
        <v>32</v>
      </c>
      <c r="AL8" s="34" t="s">
        <v>31</v>
      </c>
      <c r="AM8" s="34" t="s">
        <v>65</v>
      </c>
      <c r="AN8" s="9" t="s">
        <v>38</v>
      </c>
      <c r="AO8" s="9" t="s">
        <v>66</v>
      </c>
      <c r="AP8" s="12" t="s">
        <v>67</v>
      </c>
      <c r="AQ8" s="12"/>
      <c r="AR8" s="36"/>
      <c r="AS8" s="9" t="s">
        <v>33</v>
      </c>
      <c r="AT8" s="22" t="s">
        <v>91</v>
      </c>
      <c r="AU8" s="22" t="s">
        <v>92</v>
      </c>
    </row>
    <row r="9" spans="1:50" ht="22.8" customHeight="1">
      <c r="A9" s="7"/>
      <c r="B9" s="16" t="s">
        <v>59</v>
      </c>
      <c r="C9" s="4"/>
      <c r="D9" s="10"/>
      <c r="E9" s="4"/>
      <c r="F9" s="3"/>
      <c r="G9" s="3"/>
      <c r="H9" s="3"/>
      <c r="I9" s="4"/>
      <c r="J9" s="4"/>
      <c r="K9" s="4"/>
      <c r="L9" s="4"/>
      <c r="M9" s="11"/>
      <c r="N9" s="5"/>
      <c r="O9" s="4"/>
      <c r="P9" s="4"/>
      <c r="Q9" s="2"/>
      <c r="R9" s="4"/>
      <c r="S9" s="4"/>
      <c r="T9" s="4"/>
      <c r="U9" s="3"/>
      <c r="V9" s="3"/>
      <c r="W9" s="4"/>
      <c r="X9" s="4"/>
      <c r="Y9" s="4"/>
      <c r="Z9" s="4"/>
      <c r="AA9" s="4"/>
      <c r="AB9" s="4"/>
      <c r="AC9" s="4"/>
      <c r="AD9" s="4"/>
      <c r="AE9" s="4"/>
      <c r="AF9" s="2"/>
      <c r="AG9" s="7" t="s">
        <v>36</v>
      </c>
      <c r="AH9" s="13" t="s">
        <v>71</v>
      </c>
      <c r="AI9" s="14" t="s">
        <v>37</v>
      </c>
      <c r="AJ9" s="14" t="s">
        <v>64</v>
      </c>
      <c r="AK9" s="7"/>
      <c r="AL9" s="7"/>
      <c r="AM9" s="7"/>
      <c r="AN9" s="6" t="s">
        <v>72</v>
      </c>
      <c r="AO9" s="6" t="s">
        <v>73</v>
      </c>
      <c r="AP9" s="7" t="s">
        <v>67</v>
      </c>
      <c r="AQ9" s="7"/>
      <c r="AR9" s="23"/>
      <c r="AS9" s="8" t="s">
        <v>33</v>
      </c>
    </row>
    <row r="10" spans="1:50" ht="22.8" customHeight="1">
      <c r="A10" s="7"/>
      <c r="B10" s="7" t="s">
        <v>60</v>
      </c>
      <c r="C10" s="4"/>
      <c r="D10" s="10"/>
      <c r="E10" s="4"/>
      <c r="F10" s="3"/>
      <c r="G10" s="3"/>
      <c r="H10" s="3"/>
      <c r="I10" s="4"/>
      <c r="J10" s="4"/>
      <c r="K10" s="4"/>
      <c r="L10" s="4"/>
      <c r="M10" s="11"/>
      <c r="N10" s="5"/>
      <c r="O10" s="4"/>
      <c r="P10" s="4"/>
      <c r="Q10" s="2"/>
      <c r="R10" s="4"/>
      <c r="S10" s="4"/>
      <c r="T10" s="4"/>
      <c r="U10" s="3"/>
      <c r="V10" s="3"/>
      <c r="W10" s="4"/>
      <c r="X10" s="4"/>
      <c r="Y10" s="4"/>
      <c r="Z10" s="4"/>
      <c r="AA10" s="4"/>
      <c r="AB10" s="4"/>
      <c r="AC10" s="4"/>
      <c r="AD10" s="4"/>
      <c r="AE10" s="4"/>
      <c r="AF10" s="2"/>
      <c r="AG10" s="14" t="s">
        <v>35</v>
      </c>
      <c r="AH10" s="13" t="s">
        <v>68</v>
      </c>
      <c r="AI10" s="14" t="s">
        <v>37</v>
      </c>
      <c r="AJ10" s="14" t="s">
        <v>64</v>
      </c>
      <c r="AK10" s="16"/>
      <c r="AL10" s="15" t="s">
        <v>31</v>
      </c>
      <c r="AM10" s="15" t="s">
        <v>65</v>
      </c>
      <c r="AN10" s="6" t="s">
        <v>72</v>
      </c>
      <c r="AO10" s="6" t="s">
        <v>73</v>
      </c>
      <c r="AP10" s="7" t="s">
        <v>67</v>
      </c>
      <c r="AQ10" s="7"/>
      <c r="AR10" s="23"/>
      <c r="AS10" s="8" t="s">
        <v>33</v>
      </c>
    </row>
    <row r="11" spans="1:50" ht="22.8" customHeight="1">
      <c r="A11" s="7"/>
      <c r="B11" s="7" t="s">
        <v>61</v>
      </c>
      <c r="C11" s="4"/>
      <c r="D11" s="10"/>
      <c r="E11" s="4"/>
      <c r="F11" s="3"/>
      <c r="G11" s="3"/>
      <c r="H11" s="3"/>
      <c r="I11" s="4"/>
      <c r="J11" s="4"/>
      <c r="K11" s="4"/>
      <c r="L11" s="4"/>
      <c r="M11" s="11"/>
      <c r="N11" s="5"/>
      <c r="O11" s="4"/>
      <c r="P11" s="4"/>
      <c r="Q11" s="2"/>
      <c r="R11" s="4"/>
      <c r="S11" s="4"/>
      <c r="T11" s="4"/>
      <c r="U11" s="3"/>
      <c r="V11" s="3"/>
      <c r="W11" s="4"/>
      <c r="X11" s="4"/>
      <c r="Y11" s="4"/>
      <c r="Z11" s="4"/>
      <c r="AA11" s="4"/>
      <c r="AB11" s="4"/>
      <c r="AC11" s="4"/>
      <c r="AD11" s="4"/>
      <c r="AE11" s="4"/>
      <c r="AF11" s="2"/>
      <c r="AG11" s="14" t="s">
        <v>35</v>
      </c>
      <c r="AH11" s="13" t="s">
        <v>68</v>
      </c>
      <c r="AI11" s="14" t="s">
        <v>37</v>
      </c>
      <c r="AJ11" s="14" t="s">
        <v>64</v>
      </c>
      <c r="AK11" s="16"/>
      <c r="AL11" s="15" t="s">
        <v>31</v>
      </c>
      <c r="AM11" s="15" t="s">
        <v>65</v>
      </c>
      <c r="AN11" s="6" t="s">
        <v>72</v>
      </c>
      <c r="AO11" s="6" t="s">
        <v>73</v>
      </c>
      <c r="AP11" s="7" t="s">
        <v>67</v>
      </c>
      <c r="AQ11" s="7"/>
      <c r="AR11" s="23"/>
      <c r="AS11" s="8" t="s">
        <v>33</v>
      </c>
    </row>
    <row r="12" spans="1:50" ht="22.8" customHeight="1">
      <c r="A12" s="7"/>
      <c r="B12" s="7" t="s">
        <v>62</v>
      </c>
      <c r="C12" s="4"/>
      <c r="D12" s="10"/>
      <c r="E12" s="4"/>
      <c r="F12" s="3"/>
      <c r="G12" s="3"/>
      <c r="H12" s="3"/>
      <c r="I12" s="4"/>
      <c r="J12" s="4"/>
      <c r="K12" s="4"/>
      <c r="L12" s="4"/>
      <c r="M12" s="11"/>
      <c r="N12" s="5"/>
      <c r="O12" s="4"/>
      <c r="P12" s="4"/>
      <c r="Q12" s="2"/>
      <c r="R12" s="4"/>
      <c r="S12" s="4"/>
      <c r="T12" s="4"/>
      <c r="U12" s="3"/>
      <c r="V12" s="3"/>
      <c r="W12" s="4"/>
      <c r="X12" s="4"/>
      <c r="Y12" s="4"/>
      <c r="Z12" s="4"/>
      <c r="AA12" s="4"/>
      <c r="AB12" s="4"/>
      <c r="AC12" s="4"/>
      <c r="AD12" s="4"/>
      <c r="AE12" s="4"/>
      <c r="AF12" s="2"/>
      <c r="AG12" s="7" t="s">
        <v>40</v>
      </c>
      <c r="AH12" s="7" t="s">
        <v>76</v>
      </c>
      <c r="AI12" s="14" t="s">
        <v>37</v>
      </c>
      <c r="AJ12" s="14" t="s">
        <v>64</v>
      </c>
      <c r="AK12" s="7"/>
      <c r="AL12" s="7"/>
      <c r="AM12" s="7"/>
      <c r="AN12" s="7"/>
      <c r="AO12" s="7"/>
      <c r="AP12" s="7"/>
      <c r="AQ12" s="7"/>
      <c r="AR12" s="23"/>
      <c r="AS12" s="7"/>
    </row>
    <row r="13" spans="1:50" ht="22.8" customHeight="1">
      <c r="A13" s="7"/>
      <c r="B13" s="37" t="s">
        <v>75</v>
      </c>
      <c r="C13" s="4"/>
      <c r="D13" s="10"/>
      <c r="E13" s="4"/>
      <c r="F13" s="3"/>
      <c r="G13" s="3"/>
      <c r="H13" s="3"/>
      <c r="I13" s="4"/>
      <c r="J13" s="4"/>
      <c r="K13" s="4"/>
      <c r="L13" s="4"/>
      <c r="M13" s="11"/>
      <c r="N13" s="5"/>
      <c r="O13" s="4"/>
      <c r="P13" s="4"/>
      <c r="Q13" s="2"/>
      <c r="R13" s="4"/>
      <c r="S13" s="4"/>
      <c r="T13" s="4"/>
      <c r="U13" s="3"/>
      <c r="V13" s="3"/>
      <c r="W13" s="4"/>
      <c r="X13" s="4"/>
      <c r="Y13" s="4"/>
      <c r="Z13" s="4"/>
      <c r="AA13" s="4"/>
      <c r="AB13" s="4"/>
      <c r="AC13" s="4"/>
      <c r="AD13" s="4"/>
      <c r="AE13" s="4"/>
      <c r="AF13" s="2"/>
      <c r="AG13" s="7" t="s">
        <v>39</v>
      </c>
      <c r="AH13" s="7" t="s">
        <v>76</v>
      </c>
      <c r="AI13" s="14" t="s">
        <v>37</v>
      </c>
      <c r="AJ13" s="14" t="s">
        <v>64</v>
      </c>
      <c r="AK13" s="7"/>
      <c r="AL13" s="7"/>
      <c r="AM13" s="7"/>
      <c r="AN13" s="7"/>
      <c r="AO13" s="7"/>
      <c r="AP13" s="7"/>
      <c r="AQ13" s="7"/>
      <c r="AR13" s="23"/>
      <c r="AS13" s="7"/>
    </row>
    <row r="14" spans="1:50" ht="22.8" customHeight="1">
      <c r="A14" s="7"/>
      <c r="B14" s="37" t="s">
        <v>75</v>
      </c>
      <c r="C14" s="4"/>
      <c r="D14" s="10"/>
      <c r="E14" s="4"/>
      <c r="F14" s="3"/>
      <c r="G14" s="3"/>
      <c r="H14" s="3"/>
      <c r="I14" s="4"/>
      <c r="J14" s="4"/>
      <c r="K14" s="4"/>
      <c r="L14" s="4"/>
      <c r="M14" s="11"/>
      <c r="N14" s="5"/>
      <c r="O14" s="4"/>
      <c r="P14" s="4"/>
      <c r="Q14" s="2"/>
      <c r="R14" s="4"/>
      <c r="S14" s="4"/>
      <c r="T14" s="4"/>
      <c r="U14" s="3"/>
      <c r="V14" s="3"/>
      <c r="W14" s="4"/>
      <c r="X14" s="4"/>
      <c r="Y14" s="4"/>
      <c r="Z14" s="4"/>
      <c r="AA14" s="4"/>
      <c r="AB14" s="4"/>
      <c r="AC14" s="4"/>
      <c r="AD14" s="4"/>
      <c r="AE14" s="4"/>
      <c r="AF14" s="2"/>
      <c r="AG14" s="7" t="s">
        <v>39</v>
      </c>
      <c r="AH14" s="7" t="s">
        <v>76</v>
      </c>
      <c r="AI14" s="14" t="s">
        <v>37</v>
      </c>
      <c r="AJ14" s="14" t="s">
        <v>64</v>
      </c>
      <c r="AK14" s="7"/>
      <c r="AL14" s="7"/>
      <c r="AM14" s="7"/>
      <c r="AN14" s="7"/>
      <c r="AO14" s="7"/>
      <c r="AP14" s="7"/>
      <c r="AQ14" s="7"/>
      <c r="AR14" s="23"/>
      <c r="AS14" s="7"/>
    </row>
    <row r="15" spans="1:50" ht="22.8" customHeight="1">
      <c r="A15" s="7"/>
      <c r="B15" s="37" t="s">
        <v>75</v>
      </c>
      <c r="C15" s="4"/>
      <c r="D15" s="10"/>
      <c r="E15" s="4"/>
      <c r="F15" s="3"/>
      <c r="G15" s="3"/>
      <c r="H15" s="3"/>
      <c r="I15" s="4"/>
      <c r="J15" s="4"/>
      <c r="K15" s="4"/>
      <c r="L15" s="4"/>
      <c r="M15" s="11"/>
      <c r="N15" s="5"/>
      <c r="O15" s="4"/>
      <c r="P15" s="4"/>
      <c r="Q15" s="2"/>
      <c r="R15" s="4"/>
      <c r="S15" s="4"/>
      <c r="T15" s="4"/>
      <c r="U15" s="3"/>
      <c r="V15" s="3"/>
      <c r="W15" s="4"/>
      <c r="X15" s="4"/>
      <c r="Y15" s="4"/>
      <c r="Z15" s="4"/>
      <c r="AA15" s="4"/>
      <c r="AB15" s="4"/>
      <c r="AC15" s="4"/>
      <c r="AD15" s="4"/>
      <c r="AE15" s="4"/>
      <c r="AF15" s="2"/>
      <c r="AG15" s="7" t="s">
        <v>39</v>
      </c>
      <c r="AH15" s="7" t="s">
        <v>76</v>
      </c>
      <c r="AI15" s="14" t="s">
        <v>37</v>
      </c>
      <c r="AJ15" s="14" t="s">
        <v>64</v>
      </c>
      <c r="AK15" s="7"/>
      <c r="AL15" s="7"/>
      <c r="AM15" s="7"/>
      <c r="AN15" s="7"/>
      <c r="AO15" s="7"/>
      <c r="AP15" s="7"/>
      <c r="AQ15" s="7"/>
      <c r="AR15" s="23"/>
      <c r="AS15" s="7"/>
    </row>
    <row r="16" spans="1:50" ht="22.8" customHeight="1">
      <c r="A16" s="7"/>
      <c r="B16" s="37" t="s">
        <v>74</v>
      </c>
      <c r="C16" s="4"/>
      <c r="D16" s="10"/>
      <c r="E16" s="4"/>
      <c r="F16" s="3"/>
      <c r="G16" s="3"/>
      <c r="H16" s="3"/>
      <c r="I16" s="4"/>
      <c r="J16" s="4"/>
      <c r="K16" s="4"/>
      <c r="L16" s="4"/>
      <c r="M16" s="11"/>
      <c r="N16" s="5"/>
      <c r="O16" s="4"/>
      <c r="P16" s="4"/>
      <c r="Q16" s="2"/>
      <c r="R16" s="4"/>
      <c r="S16" s="4"/>
      <c r="T16" s="4"/>
      <c r="U16" s="3"/>
      <c r="V16" s="3"/>
      <c r="W16" s="4"/>
      <c r="X16" s="4"/>
      <c r="Y16" s="4"/>
      <c r="Z16" s="4"/>
      <c r="AA16" s="4"/>
      <c r="AB16" s="4"/>
      <c r="AC16" s="4"/>
      <c r="AD16" s="4"/>
      <c r="AE16" s="4"/>
      <c r="AF16" s="2"/>
      <c r="AG16" s="7" t="s">
        <v>40</v>
      </c>
      <c r="AH16" s="7" t="s">
        <v>76</v>
      </c>
      <c r="AI16" s="14" t="s">
        <v>37</v>
      </c>
      <c r="AJ16" s="14" t="s">
        <v>64</v>
      </c>
      <c r="AK16" s="7"/>
      <c r="AL16" s="7"/>
      <c r="AM16" s="7"/>
      <c r="AN16" s="7"/>
      <c r="AO16" s="7"/>
      <c r="AP16" s="7"/>
      <c r="AQ16" s="7"/>
      <c r="AR16" s="23"/>
      <c r="AS16" s="7"/>
    </row>
    <row r="17" spans="1:45" ht="22.8" customHeight="1">
      <c r="A17" s="7"/>
      <c r="B17" s="37" t="s">
        <v>74</v>
      </c>
      <c r="C17" s="4"/>
      <c r="D17" s="10"/>
      <c r="E17" s="4"/>
      <c r="F17" s="3"/>
      <c r="G17" s="3"/>
      <c r="H17" s="3"/>
      <c r="I17" s="4"/>
      <c r="J17" s="4"/>
      <c r="K17" s="4"/>
      <c r="L17" s="4"/>
      <c r="M17" s="11"/>
      <c r="N17" s="5"/>
      <c r="O17" s="4"/>
      <c r="P17" s="4"/>
      <c r="Q17" s="2"/>
      <c r="R17" s="4"/>
      <c r="S17" s="4"/>
      <c r="T17" s="4"/>
      <c r="U17" s="3"/>
      <c r="V17" s="3"/>
      <c r="W17" s="4"/>
      <c r="X17" s="4"/>
      <c r="Y17" s="4"/>
      <c r="Z17" s="4"/>
      <c r="AA17" s="4"/>
      <c r="AB17" s="4"/>
      <c r="AC17" s="4"/>
      <c r="AD17" s="4"/>
      <c r="AE17" s="4"/>
      <c r="AF17" s="2"/>
      <c r="AG17" s="7" t="s">
        <v>40</v>
      </c>
      <c r="AH17" s="7" t="s">
        <v>76</v>
      </c>
      <c r="AI17" s="14" t="s">
        <v>37</v>
      </c>
      <c r="AJ17" s="14" t="s">
        <v>64</v>
      </c>
      <c r="AK17" s="7"/>
      <c r="AL17" s="7"/>
      <c r="AM17" s="7"/>
      <c r="AN17" s="7"/>
      <c r="AO17" s="7"/>
      <c r="AP17" s="7"/>
      <c r="AQ17" s="7"/>
      <c r="AR17" s="7"/>
      <c r="AS17" s="7"/>
    </row>
    <row r="18" spans="1:45" ht="22.8" customHeight="1">
      <c r="A18" s="7"/>
      <c r="B18" s="37" t="s">
        <v>74</v>
      </c>
      <c r="C18" s="4"/>
      <c r="D18" s="10"/>
      <c r="E18" s="4"/>
      <c r="F18" s="3"/>
      <c r="G18" s="3"/>
      <c r="H18" s="3"/>
      <c r="I18" s="4"/>
      <c r="J18" s="4"/>
      <c r="K18" s="4"/>
      <c r="L18" s="4"/>
      <c r="M18" s="11"/>
      <c r="N18" s="5"/>
      <c r="O18" s="4"/>
      <c r="P18" s="4"/>
      <c r="Q18" s="2"/>
      <c r="R18" s="4"/>
      <c r="S18" s="4"/>
      <c r="T18" s="4"/>
      <c r="U18" s="3"/>
      <c r="V18" s="3"/>
      <c r="W18" s="4"/>
      <c r="X18" s="4"/>
      <c r="Y18" s="4"/>
      <c r="Z18" s="4"/>
      <c r="AA18" s="4"/>
      <c r="AB18" s="4"/>
      <c r="AC18" s="4"/>
      <c r="AD18" s="4"/>
      <c r="AE18" s="4"/>
      <c r="AF18" s="2"/>
      <c r="AG18" s="7" t="s">
        <v>40</v>
      </c>
      <c r="AH18" s="7" t="s">
        <v>76</v>
      </c>
      <c r="AI18" s="14" t="s">
        <v>37</v>
      </c>
      <c r="AJ18" s="14" t="s">
        <v>64</v>
      </c>
      <c r="AK18" s="7"/>
      <c r="AL18" s="7"/>
      <c r="AM18" s="7"/>
      <c r="AN18" s="7"/>
      <c r="AO18" s="7"/>
      <c r="AP18" s="7"/>
      <c r="AQ18" s="7"/>
      <c r="AR18" s="7"/>
      <c r="AS18" s="7"/>
    </row>
    <row r="19" spans="1:45" ht="22.8" customHeight="1">
      <c r="A19" s="7"/>
      <c r="B19" s="32" t="s">
        <v>77</v>
      </c>
      <c r="C19" s="4"/>
      <c r="D19" s="10"/>
      <c r="E19" s="4"/>
      <c r="F19" s="3"/>
      <c r="G19" s="3"/>
      <c r="H19" s="3"/>
      <c r="I19" s="4"/>
      <c r="J19" s="4"/>
      <c r="K19" s="4"/>
      <c r="L19" s="4"/>
      <c r="M19" s="11"/>
      <c r="N19" s="5"/>
      <c r="O19" s="4"/>
      <c r="P19" s="4"/>
      <c r="Q19" s="2"/>
      <c r="R19" s="4"/>
      <c r="S19" s="4"/>
      <c r="T19" s="4"/>
      <c r="U19" s="3"/>
      <c r="V19" s="3"/>
      <c r="W19" s="4"/>
      <c r="X19" s="4"/>
      <c r="Y19" s="4"/>
      <c r="Z19" s="4"/>
      <c r="AA19" s="4"/>
      <c r="AB19" s="4"/>
      <c r="AC19" s="4"/>
      <c r="AD19" s="4"/>
      <c r="AE19" s="4"/>
      <c r="AF19" s="2"/>
      <c r="AG19" s="14" t="s">
        <v>35</v>
      </c>
      <c r="AH19" s="13" t="s">
        <v>68</v>
      </c>
      <c r="AI19" s="14" t="s">
        <v>37</v>
      </c>
      <c r="AJ19" s="14" t="s">
        <v>64</v>
      </c>
      <c r="AK19" s="7"/>
      <c r="AL19" s="15" t="s">
        <v>31</v>
      </c>
      <c r="AM19" s="15" t="s">
        <v>65</v>
      </c>
      <c r="AN19" s="7"/>
      <c r="AO19" s="7"/>
      <c r="AP19" s="7"/>
      <c r="AQ19" s="7"/>
      <c r="AR19" s="7"/>
      <c r="AS19" s="7"/>
    </row>
    <row r="20" spans="1:45" ht="22.8" customHeight="1">
      <c r="A20" s="7"/>
      <c r="B20" s="4" t="s">
        <v>78</v>
      </c>
      <c r="C20" s="4"/>
      <c r="D20" s="10"/>
      <c r="E20" s="4"/>
      <c r="F20" s="3"/>
      <c r="G20" s="3"/>
      <c r="H20" s="3"/>
      <c r="I20" s="4"/>
      <c r="J20" s="4"/>
      <c r="K20" s="4"/>
      <c r="L20" s="4"/>
      <c r="M20" s="11"/>
      <c r="N20" s="5"/>
      <c r="O20" s="4"/>
      <c r="P20" s="4"/>
      <c r="Q20" s="2"/>
      <c r="R20" s="4"/>
      <c r="S20" s="4"/>
      <c r="T20" s="4"/>
      <c r="U20" s="3"/>
      <c r="V20" s="3"/>
      <c r="W20" s="4"/>
      <c r="X20" s="4"/>
      <c r="Y20" s="4"/>
      <c r="Z20" s="4"/>
      <c r="AA20" s="4"/>
      <c r="AB20" s="4"/>
      <c r="AC20" s="4"/>
      <c r="AD20" s="4"/>
      <c r="AE20" s="4"/>
      <c r="AF20" s="2"/>
      <c r="AG20" s="14" t="s">
        <v>35</v>
      </c>
      <c r="AH20" s="13" t="s">
        <v>68</v>
      </c>
      <c r="AI20" s="14" t="s">
        <v>37</v>
      </c>
      <c r="AJ20" s="14" t="s">
        <v>64</v>
      </c>
      <c r="AK20" s="7"/>
      <c r="AL20" s="15" t="s">
        <v>31</v>
      </c>
      <c r="AM20" s="15" t="s">
        <v>65</v>
      </c>
      <c r="AN20" s="6" t="s">
        <v>38</v>
      </c>
      <c r="AO20" s="6" t="s">
        <v>66</v>
      </c>
      <c r="AP20" s="7" t="s">
        <v>67</v>
      </c>
      <c r="AQ20" s="7"/>
      <c r="AR20" s="7"/>
      <c r="AS20" s="8" t="s">
        <v>33</v>
      </c>
    </row>
    <row r="21" spans="1:45" ht="22.8" customHeight="1">
      <c r="A21" s="7"/>
      <c r="B21" s="4" t="s">
        <v>79</v>
      </c>
      <c r="C21" s="4"/>
      <c r="D21" s="10"/>
      <c r="E21" s="4"/>
      <c r="F21" s="3"/>
      <c r="G21" s="3"/>
      <c r="H21" s="3"/>
      <c r="I21" s="4"/>
      <c r="J21" s="4"/>
      <c r="K21" s="4"/>
      <c r="L21" s="4"/>
      <c r="M21" s="11"/>
      <c r="N21" s="5"/>
      <c r="O21" s="4"/>
      <c r="P21" s="4"/>
      <c r="Q21" s="2"/>
      <c r="R21" s="4"/>
      <c r="S21" s="4"/>
      <c r="T21" s="4"/>
      <c r="U21" s="3"/>
      <c r="V21" s="3"/>
      <c r="W21" s="4"/>
      <c r="X21" s="4"/>
      <c r="Y21" s="4"/>
      <c r="Z21" s="4"/>
      <c r="AA21" s="4"/>
      <c r="AB21" s="4"/>
      <c r="AC21" s="4"/>
      <c r="AD21" s="4"/>
      <c r="AE21" s="4"/>
      <c r="AF21" s="2"/>
      <c r="AG21" s="14" t="s">
        <v>35</v>
      </c>
      <c r="AH21" s="13" t="s">
        <v>68</v>
      </c>
      <c r="AI21" s="14" t="s">
        <v>37</v>
      </c>
      <c r="AJ21" s="14" t="s">
        <v>64</v>
      </c>
      <c r="AK21" s="7"/>
      <c r="AL21" s="15" t="s">
        <v>31</v>
      </c>
      <c r="AM21" s="15" t="s">
        <v>65</v>
      </c>
      <c r="AN21" s="6" t="s">
        <v>38</v>
      </c>
      <c r="AO21" s="6" t="s">
        <v>66</v>
      </c>
      <c r="AP21" s="7" t="s">
        <v>67</v>
      </c>
      <c r="AQ21" s="7"/>
      <c r="AR21" s="7"/>
      <c r="AS21" s="8" t="s">
        <v>33</v>
      </c>
    </row>
    <row r="22" spans="1:45" ht="22.8" customHeight="1">
      <c r="A22" s="7"/>
      <c r="B22" s="4" t="s">
        <v>80</v>
      </c>
      <c r="C22" s="4"/>
      <c r="D22" s="10"/>
      <c r="E22" s="4"/>
      <c r="F22" s="3"/>
      <c r="G22" s="3"/>
      <c r="H22" s="3"/>
      <c r="I22" s="4"/>
      <c r="J22" s="4"/>
      <c r="K22" s="4"/>
      <c r="L22" s="4"/>
      <c r="M22" s="11"/>
      <c r="N22" s="5"/>
      <c r="O22" s="4"/>
      <c r="P22" s="4"/>
      <c r="Q22" s="2"/>
      <c r="R22" s="4"/>
      <c r="S22" s="4"/>
      <c r="T22" s="4"/>
      <c r="U22" s="3"/>
      <c r="V22" s="3"/>
      <c r="W22" s="4"/>
      <c r="X22" s="4"/>
      <c r="Y22" s="4"/>
      <c r="Z22" s="4"/>
      <c r="AA22" s="4"/>
      <c r="AB22" s="4"/>
      <c r="AC22" s="4"/>
      <c r="AD22" s="4"/>
      <c r="AE22" s="4"/>
      <c r="AF22" s="2"/>
      <c r="AG22" s="14" t="s">
        <v>35</v>
      </c>
      <c r="AH22" s="13" t="s">
        <v>68</v>
      </c>
      <c r="AI22" s="14" t="s">
        <v>37</v>
      </c>
      <c r="AJ22" s="14" t="s">
        <v>64</v>
      </c>
      <c r="AK22" s="7"/>
      <c r="AL22" s="15" t="s">
        <v>31</v>
      </c>
      <c r="AM22" s="15" t="s">
        <v>65</v>
      </c>
      <c r="AN22" s="6" t="s">
        <v>38</v>
      </c>
      <c r="AO22" s="6" t="s">
        <v>73</v>
      </c>
      <c r="AP22" s="7" t="s">
        <v>67</v>
      </c>
      <c r="AQ22" s="7" t="s">
        <v>83</v>
      </c>
      <c r="AR22" s="7"/>
      <c r="AS22" s="8" t="s">
        <v>33</v>
      </c>
    </row>
    <row r="23" spans="1:45" ht="22.8" customHeight="1">
      <c r="A23" s="7"/>
      <c r="B23" s="4" t="s">
        <v>81</v>
      </c>
      <c r="C23" s="4"/>
      <c r="D23" s="10"/>
      <c r="E23" s="4"/>
      <c r="F23" s="3"/>
      <c r="G23" s="3"/>
      <c r="H23" s="3"/>
      <c r="I23" s="4"/>
      <c r="J23" s="4"/>
      <c r="K23" s="4"/>
      <c r="L23" s="4"/>
      <c r="M23" s="11"/>
      <c r="N23" s="5"/>
      <c r="O23" s="4"/>
      <c r="P23" s="4"/>
      <c r="Q23" s="2"/>
      <c r="R23" s="4"/>
      <c r="S23" s="4"/>
      <c r="T23" s="4"/>
      <c r="U23" s="3"/>
      <c r="V23" s="3"/>
      <c r="W23" s="4"/>
      <c r="X23" s="4"/>
      <c r="Y23" s="4"/>
      <c r="Z23" s="4"/>
      <c r="AA23" s="4"/>
      <c r="AB23" s="4"/>
      <c r="AC23" s="4"/>
      <c r="AD23" s="4"/>
      <c r="AE23" s="4"/>
      <c r="AF23" s="2"/>
      <c r="AG23" s="14" t="s">
        <v>35</v>
      </c>
      <c r="AH23" s="13" t="s">
        <v>68</v>
      </c>
      <c r="AI23" s="14" t="s">
        <v>37</v>
      </c>
      <c r="AJ23" s="14" t="s">
        <v>64</v>
      </c>
      <c r="AK23" s="7"/>
      <c r="AL23" s="15" t="s">
        <v>31</v>
      </c>
      <c r="AM23" s="15" t="s">
        <v>65</v>
      </c>
      <c r="AN23" s="6" t="s">
        <v>38</v>
      </c>
      <c r="AO23" s="6" t="s">
        <v>73</v>
      </c>
      <c r="AP23" s="7" t="s">
        <v>67</v>
      </c>
      <c r="AQ23" s="7" t="s">
        <v>83</v>
      </c>
      <c r="AR23" s="7"/>
      <c r="AS23" s="8" t="s">
        <v>33</v>
      </c>
    </row>
    <row r="24" spans="1:45" ht="22.8" customHeight="1">
      <c r="A24" s="7"/>
      <c r="B24" s="32" t="s">
        <v>82</v>
      </c>
      <c r="C24" s="4"/>
      <c r="D24" s="10"/>
      <c r="E24" s="4"/>
      <c r="F24" s="3"/>
      <c r="G24" s="3"/>
      <c r="H24" s="3"/>
      <c r="I24" s="4"/>
      <c r="J24" s="4"/>
      <c r="K24" s="4"/>
      <c r="L24" s="4"/>
      <c r="M24" s="11"/>
      <c r="N24" s="5"/>
      <c r="O24" s="4"/>
      <c r="P24" s="4"/>
      <c r="Q24" s="2"/>
      <c r="R24" s="4"/>
      <c r="S24" s="4"/>
      <c r="T24" s="4"/>
      <c r="U24" s="3"/>
      <c r="V24" s="3"/>
      <c r="W24" s="4"/>
      <c r="X24" s="4"/>
      <c r="Y24" s="4"/>
      <c r="Z24" s="4"/>
      <c r="AA24" s="4"/>
      <c r="AB24" s="4"/>
      <c r="AC24" s="4"/>
      <c r="AD24" s="4"/>
      <c r="AE24" s="4"/>
      <c r="AF24" s="2"/>
      <c r="AG24" s="14" t="s">
        <v>35</v>
      </c>
      <c r="AH24" s="13" t="s">
        <v>68</v>
      </c>
      <c r="AI24" s="14" t="s">
        <v>37</v>
      </c>
      <c r="AJ24" s="14" t="s">
        <v>64</v>
      </c>
      <c r="AK24" s="7"/>
      <c r="AL24" s="15" t="s">
        <v>31</v>
      </c>
      <c r="AM24" s="15" t="s">
        <v>65</v>
      </c>
      <c r="AN24" s="6" t="s">
        <v>38</v>
      </c>
      <c r="AO24" s="6" t="s">
        <v>73</v>
      </c>
      <c r="AP24" s="7" t="s">
        <v>67</v>
      </c>
      <c r="AQ24" s="7"/>
      <c r="AR24" s="7"/>
      <c r="AS24" s="8" t="s">
        <v>33</v>
      </c>
    </row>
    <row r="25" spans="1:45" ht="22.8" customHeight="1">
      <c r="A25" s="7"/>
      <c r="B25" s="32" t="s">
        <v>82</v>
      </c>
      <c r="C25" s="4"/>
      <c r="D25" s="10"/>
      <c r="E25" s="4"/>
      <c r="F25" s="3"/>
      <c r="G25" s="3"/>
      <c r="H25" s="3"/>
      <c r="I25" s="4"/>
      <c r="J25" s="4"/>
      <c r="K25" s="4"/>
      <c r="L25" s="4"/>
      <c r="M25" s="11"/>
      <c r="N25" s="5"/>
      <c r="O25" s="4"/>
      <c r="P25" s="4"/>
      <c r="Q25" s="2"/>
      <c r="R25" s="4"/>
      <c r="S25" s="4"/>
      <c r="T25" s="4"/>
      <c r="U25" s="3"/>
      <c r="V25" s="3"/>
      <c r="W25" s="4"/>
      <c r="X25" s="4"/>
      <c r="Y25" s="4"/>
      <c r="Z25" s="4"/>
      <c r="AA25" s="4"/>
      <c r="AB25" s="4"/>
      <c r="AC25" s="4"/>
      <c r="AD25" s="4"/>
      <c r="AE25" s="4"/>
      <c r="AF25" s="2"/>
      <c r="AG25" s="14" t="s">
        <v>35</v>
      </c>
      <c r="AH25" s="13" t="s">
        <v>68</v>
      </c>
      <c r="AI25" s="14" t="s">
        <v>37</v>
      </c>
      <c r="AJ25" s="14" t="s">
        <v>64</v>
      </c>
      <c r="AK25" s="7"/>
      <c r="AL25" s="15" t="s">
        <v>31</v>
      </c>
      <c r="AM25" s="15" t="s">
        <v>65</v>
      </c>
      <c r="AN25" s="6" t="s">
        <v>38</v>
      </c>
      <c r="AO25" s="6" t="s">
        <v>73</v>
      </c>
      <c r="AP25" s="7" t="s">
        <v>67</v>
      </c>
      <c r="AQ25" s="7"/>
      <c r="AR25" s="7"/>
      <c r="AS25" s="8" t="s">
        <v>33</v>
      </c>
    </row>
    <row r="26" spans="1:45" ht="22.8" customHeight="1">
      <c r="A26" s="7"/>
      <c r="B26" s="4" t="s">
        <v>84</v>
      </c>
      <c r="C26" s="4"/>
      <c r="D26" s="10"/>
      <c r="E26" s="4"/>
      <c r="F26" s="3"/>
      <c r="G26" s="3"/>
      <c r="H26" s="3"/>
      <c r="I26" s="4"/>
      <c r="J26" s="4"/>
      <c r="K26" s="4"/>
      <c r="L26" s="4"/>
      <c r="M26" s="11"/>
      <c r="N26" s="5"/>
      <c r="O26" s="4"/>
      <c r="P26" s="4"/>
      <c r="Q26" s="2"/>
      <c r="R26" s="4"/>
      <c r="S26" s="4"/>
      <c r="T26" s="4"/>
      <c r="U26" s="3"/>
      <c r="V26" s="3"/>
      <c r="W26" s="4"/>
      <c r="X26" s="4"/>
      <c r="Y26" s="4"/>
      <c r="Z26" s="4"/>
      <c r="AA26" s="4"/>
      <c r="AB26" s="4"/>
      <c r="AC26" s="4"/>
      <c r="AD26" s="4"/>
      <c r="AE26" s="4"/>
      <c r="AF26" s="2"/>
      <c r="AG26" s="7" t="s">
        <v>34</v>
      </c>
      <c r="AH26" s="13" t="s">
        <v>86</v>
      </c>
      <c r="AI26" s="14" t="s">
        <v>37</v>
      </c>
      <c r="AJ26" s="14" t="s">
        <v>64</v>
      </c>
      <c r="AK26" s="7"/>
      <c r="AL26" s="7"/>
      <c r="AM26" s="7"/>
      <c r="AN26" s="7"/>
      <c r="AO26" s="7"/>
      <c r="AP26" s="7"/>
      <c r="AQ26" s="7"/>
      <c r="AR26" s="7"/>
      <c r="AS26" s="7"/>
    </row>
    <row r="27" spans="1:45" ht="22.8" customHeight="1">
      <c r="A27" s="7"/>
      <c r="B27" s="4" t="s">
        <v>85</v>
      </c>
      <c r="C27" s="4"/>
      <c r="D27" s="10"/>
      <c r="E27" s="4"/>
      <c r="F27" s="3"/>
      <c r="G27" s="3"/>
      <c r="H27" s="3"/>
      <c r="I27" s="4"/>
      <c r="J27" s="4"/>
      <c r="K27" s="4"/>
      <c r="L27" s="4"/>
      <c r="M27" s="11"/>
      <c r="N27" s="5"/>
      <c r="O27" s="4"/>
      <c r="P27" s="4"/>
      <c r="Q27" s="2"/>
      <c r="R27" s="4"/>
      <c r="S27" s="4"/>
      <c r="T27" s="4"/>
      <c r="U27" s="3"/>
      <c r="V27" s="3"/>
      <c r="W27" s="4"/>
      <c r="X27" s="4"/>
      <c r="Y27" s="4"/>
      <c r="Z27" s="4"/>
      <c r="AA27" s="4"/>
      <c r="AB27" s="4"/>
      <c r="AC27" s="4"/>
      <c r="AD27" s="4"/>
      <c r="AE27" s="4"/>
      <c r="AF27" s="2"/>
      <c r="AG27" s="14" t="s">
        <v>35</v>
      </c>
      <c r="AH27" s="13" t="s">
        <v>68</v>
      </c>
      <c r="AI27" s="14" t="s">
        <v>37</v>
      </c>
      <c r="AJ27" s="14" t="s">
        <v>64</v>
      </c>
      <c r="AK27" s="7"/>
      <c r="AL27" s="15" t="s">
        <v>31</v>
      </c>
      <c r="AM27" s="15" t="s">
        <v>65</v>
      </c>
      <c r="AN27" s="7"/>
      <c r="AO27" s="7"/>
      <c r="AP27" s="7"/>
      <c r="AQ27" s="7"/>
      <c r="AR27" s="7"/>
      <c r="AS27" s="7"/>
    </row>
  </sheetData>
  <autoFilter ref="A1:AY1" xr:uid="{3714CD66-B503-4185-AC9C-0E13FCF517A1}"/>
  <phoneticPr fontId="4" type="noConversion"/>
  <pageMargins left="0.25" right="0.25" top="0.75" bottom="0.75" header="0.3" footer="0.3"/>
  <pageSetup paperSize="8" orientation="landscape" r:id="rId1"/>
  <headerFooter>
    <oddHeader>&amp;LVÄLISUSTE SPETSIFIKATSIOON</oddHeader>
    <oddFooter>&amp;LTöö nr / nimi: 2214 / Keila Keskus
Dok. tähis / Kuup.: AR-8-04 /06.12.2025
Versiooni nr:  -&amp;CLk &amp;P&amp;RProjekteerija: Allianss Arhitektid OÜ
Reg nr: EEP001570
Vastutav spetsialist: Inga Raukas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3A14-3A58-4902-A234-FA23DFDD3EB9}">
  <dimension ref="A1:B24"/>
  <sheetViews>
    <sheetView topLeftCell="A14" workbookViewId="0">
      <selection activeCell="C24" sqref="C24"/>
    </sheetView>
  </sheetViews>
  <sheetFormatPr defaultRowHeight="14.4"/>
  <cols>
    <col min="1" max="1" width="15.88671875" customWidth="1"/>
    <col min="2" max="2" width="8.44140625" customWidth="1"/>
  </cols>
  <sheetData>
    <row r="1" spans="1:2">
      <c r="A1" s="14" t="s">
        <v>35</v>
      </c>
      <c r="B1">
        <f>COUNTIF(Lukustus!AG:AS,Sheet1!A1)</f>
        <v>16</v>
      </c>
    </row>
    <row r="2" spans="1:2">
      <c r="A2" s="1" t="s">
        <v>69</v>
      </c>
      <c r="B2">
        <f>COUNTIF(Lukustus!AG:AS,Sheet1!A2)</f>
        <v>1</v>
      </c>
    </row>
    <row r="3" spans="1:2">
      <c r="A3" s="7" t="s">
        <v>36</v>
      </c>
      <c r="B3">
        <f>COUNTIF(Lukustus!AG:AS,Sheet1!A3)</f>
        <v>1</v>
      </c>
    </row>
    <row r="4" spans="1:2">
      <c r="A4" s="7" t="s">
        <v>40</v>
      </c>
      <c r="B4">
        <f>COUNTIF(Lukustus!AG:AS,Sheet1!A4)</f>
        <v>4</v>
      </c>
    </row>
    <row r="5" spans="1:2">
      <c r="A5" s="7" t="s">
        <v>39</v>
      </c>
      <c r="B5">
        <f>COUNTIF(Lukustus!AG:AS,Sheet1!A5)</f>
        <v>3</v>
      </c>
    </row>
    <row r="6" spans="1:2">
      <c r="A6" s="7" t="s">
        <v>34</v>
      </c>
      <c r="B6">
        <f>COUNTIF(Lukustus!AG:AS,Sheet1!A6)</f>
        <v>1</v>
      </c>
    </row>
    <row r="7" spans="1:2">
      <c r="A7" s="13" t="s">
        <v>68</v>
      </c>
      <c r="B7">
        <f>COUNTIF(Lukustus!AG:AS,Sheet1!A7)</f>
        <v>16</v>
      </c>
    </row>
    <row r="8" spans="1:2">
      <c r="A8" s="1"/>
      <c r="B8">
        <f>COUNTIF(Lukustus!AG:AS,Sheet1!A8)</f>
        <v>0</v>
      </c>
    </row>
    <row r="9" spans="1:2">
      <c r="A9" s="13" t="s">
        <v>71</v>
      </c>
      <c r="B9">
        <f>COUNTIF(Lukustus!AG:AS,Sheet1!A9)</f>
        <v>1</v>
      </c>
    </row>
    <row r="10" spans="1:2">
      <c r="A10" s="7" t="s">
        <v>76</v>
      </c>
      <c r="B10">
        <f>COUNTIF(Lukustus!AG:AS,Sheet1!A10)</f>
        <v>7</v>
      </c>
    </row>
    <row r="11" spans="1:2">
      <c r="A11" s="13" t="s">
        <v>86</v>
      </c>
      <c r="B11">
        <f>COUNTIF(Lukustus!AG:AS,Sheet1!A11)</f>
        <v>1</v>
      </c>
    </row>
    <row r="12" spans="1:2">
      <c r="A12" s="14" t="s">
        <v>37</v>
      </c>
      <c r="B12">
        <f>COUNTIF(Lukustus!AG:AS,Sheet1!A12)</f>
        <v>25</v>
      </c>
    </row>
    <row r="13" spans="1:2">
      <c r="A13" s="14" t="s">
        <v>64</v>
      </c>
      <c r="B13">
        <f>COUNTIF(Lukustus!AG:AS,Sheet1!A13)</f>
        <v>25</v>
      </c>
    </row>
    <row r="14" spans="1:2">
      <c r="A14" s="16" t="s">
        <v>32</v>
      </c>
      <c r="B14">
        <f>COUNTIF(Lukustus!AG:AS,Sheet1!A14)</f>
        <v>6</v>
      </c>
    </row>
    <row r="15" spans="1:2">
      <c r="A15" s="15" t="s">
        <v>31</v>
      </c>
      <c r="B15">
        <f>COUNTIF(Lukustus!AG:AS,Sheet1!A15)</f>
        <v>16</v>
      </c>
    </row>
    <row r="16" spans="1:2">
      <c r="A16" s="15" t="s">
        <v>65</v>
      </c>
      <c r="B16">
        <f>COUNTIF(Lukustus!AG:AS,Sheet1!A16)</f>
        <v>16</v>
      </c>
    </row>
    <row r="17" spans="1:2">
      <c r="A17" s="6" t="s">
        <v>38</v>
      </c>
      <c r="B17">
        <f>COUNTIF(Lukustus!AG:AS,Sheet1!A17)</f>
        <v>12</v>
      </c>
    </row>
    <row r="18" spans="1:2">
      <c r="A18" s="6" t="s">
        <v>72</v>
      </c>
      <c r="B18">
        <f>COUNTIF(Lukustus!AG:AS,Sheet1!A18)</f>
        <v>3</v>
      </c>
    </row>
    <row r="19" spans="1:2">
      <c r="A19" s="6" t="s">
        <v>66</v>
      </c>
      <c r="B19">
        <f>COUNTIF(Lukustus!AG:AS,Sheet1!A19)</f>
        <v>8</v>
      </c>
    </row>
    <row r="20" spans="1:2">
      <c r="A20" s="6" t="s">
        <v>73</v>
      </c>
      <c r="B20">
        <f>COUNTIF(Lukustus!AG:AS,Sheet1!A20)</f>
        <v>7</v>
      </c>
    </row>
    <row r="21" spans="1:2">
      <c r="A21" s="7" t="s">
        <v>67</v>
      </c>
      <c r="B21">
        <f>COUNTIF(Lukustus!AG:AS,Sheet1!A21)</f>
        <v>15</v>
      </c>
    </row>
    <row r="22" spans="1:2">
      <c r="A22" s="1" t="s">
        <v>70</v>
      </c>
      <c r="B22">
        <f>COUNTIF(Lukustus!AG:AS,Sheet1!A22)</f>
        <v>1</v>
      </c>
    </row>
    <row r="23" spans="1:2">
      <c r="A23" s="1" t="s">
        <v>83</v>
      </c>
      <c r="B23">
        <f>COUNTIF(Lukustus!AG:AS,Sheet1!A23)</f>
        <v>2</v>
      </c>
    </row>
    <row r="24" spans="1:2">
      <c r="A24" s="8" t="s">
        <v>33</v>
      </c>
      <c r="B24">
        <f>COUNTIF(Lukustus!AG:AS,Sheet1!A24)</f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Lukustus</vt:lpstr>
      <vt:lpstr>Sheet1</vt:lpstr>
      <vt:lpstr>Lukustus!Print_Area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 Raukas</dc:creator>
  <cp:lastModifiedBy>Kaspar Sõelsep</cp:lastModifiedBy>
  <cp:lastPrinted>2025-10-21T09:41:23Z</cp:lastPrinted>
  <dcterms:created xsi:type="dcterms:W3CDTF">2023-05-09T11:38:13Z</dcterms:created>
  <dcterms:modified xsi:type="dcterms:W3CDTF">2025-12-16T14:03:02Z</dcterms:modified>
</cp:coreProperties>
</file>